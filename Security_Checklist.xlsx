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urity Checklist" sheetId="1" state="visible" r:id="rId1"/>
    <sheet xmlns:r="http://schemas.openxmlformats.org/officeDocument/2006/relationships" name="Progress Summary"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3"/>
    </font>
    <font>
      <name val="Arial"/>
      <i val="1"/>
      <color rgb="001F3864"/>
      <sz val="9"/>
    </font>
    <font>
      <name val="Arial"/>
      <b val="1"/>
      <color rgb="00FFFFFF"/>
      <sz val="10"/>
    </font>
    <font>
      <name val="Arial"/>
      <b val="1"/>
      <color rgb="001F3864"/>
      <sz val="10"/>
    </font>
    <font>
      <name val="Arial"/>
      <color rgb="00595959"/>
      <sz val="9"/>
    </font>
    <font>
      <name val="Arial"/>
      <b val="1"/>
      <color rgb="001F3864"/>
      <sz val="9"/>
    </font>
    <font>
      <name val="Arial"/>
      <color rgb="00000000"/>
      <sz val="9"/>
    </font>
    <font>
      <name val="Arial"/>
      <b val="1"/>
      <color rgb="00FFFFFF"/>
      <sz val="9"/>
    </font>
    <font>
      <name val="Arial"/>
      <color rgb="001F3864"/>
      <sz val="10"/>
    </font>
    <font>
      <name val="Arial"/>
      <b val="1"/>
      <color rgb="00000000"/>
      <sz val="10"/>
    </font>
  </fonts>
  <fills count="12">
    <fill>
      <patternFill/>
    </fill>
    <fill>
      <patternFill patternType="gray125"/>
    </fill>
    <fill>
      <patternFill patternType="solid">
        <fgColor rgb="001F3864"/>
      </patternFill>
    </fill>
    <fill>
      <patternFill patternType="solid">
        <fgColor rgb="00DCE6F1"/>
      </patternFill>
    </fill>
    <fill>
      <patternFill patternType="solid">
        <fgColor rgb="00D6DCE4"/>
      </patternFill>
    </fill>
    <fill>
      <patternFill patternType="solid">
        <fgColor rgb="00FFFFFF"/>
      </patternFill>
    </fill>
    <fill>
      <patternFill patternType="solid">
        <fgColor rgb="00C00000"/>
      </patternFill>
    </fill>
    <fill>
      <patternFill patternType="solid">
        <fgColor rgb="00EEF2F7"/>
      </patternFill>
    </fill>
    <fill>
      <patternFill patternType="solid">
        <fgColor rgb="00ED7D31"/>
      </patternFill>
    </fill>
    <fill>
      <patternFill patternType="solid">
        <fgColor rgb="004472C4"/>
      </patternFill>
    </fill>
    <fill>
      <patternFill patternType="solid">
        <fgColor rgb="00375623"/>
      </patternFill>
    </fill>
    <fill>
      <patternFill patternType="solid">
        <fgColor rgb="007F7F7F"/>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BFBFBF"/>
      </top>
      <bottom style="medium">
        <color rgb="001F3864"/>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2" borderId="1" applyAlignment="1" pivotButton="0" quotePrefix="0" xfId="0">
      <alignment horizontal="center" vertical="center" wrapText="1"/>
    </xf>
    <xf numFmtId="0" fontId="4" fillId="4" borderId="2" applyAlignment="1" pivotButton="0" quotePrefix="0" xfId="0">
      <alignment horizontal="left" vertical="center" wrapText="1"/>
    </xf>
    <xf numFmtId="0" fontId="5"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5" borderId="1" applyAlignment="1" pivotButton="0" quotePrefix="0" xfId="0">
      <alignment horizontal="left" vertical="center" wrapText="1"/>
    </xf>
    <xf numFmtId="0" fontId="8"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6" fillId="7" borderId="1" applyAlignment="1" pivotButton="0" quotePrefix="0" xfId="0">
      <alignment horizontal="left" vertical="center" wrapText="1"/>
    </xf>
    <xf numFmtId="0" fontId="7" fillId="7" borderId="1" applyAlignment="1" pivotButton="0" quotePrefix="0" xfId="0">
      <alignment horizontal="left" vertical="center" wrapText="1"/>
    </xf>
    <xf numFmtId="0" fontId="8"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9"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0" fillId="5" borderId="1" pivotButton="0" quotePrefix="0" xfId="0"/>
    <xf numFmtId="0" fontId="9" fillId="7" borderId="1" applyAlignment="1" pivotButton="0" quotePrefix="0" xfId="0">
      <alignment horizontal="left" vertical="center" wrapText="1"/>
    </xf>
    <xf numFmtId="0" fontId="10" fillId="7" borderId="1" applyAlignment="1" pivotButton="0" quotePrefix="0" xfId="0">
      <alignment horizontal="center" vertical="center" wrapText="1"/>
    </xf>
    <xf numFmtId="0" fontId="0" fillId="7" borderId="1" pivotButton="0" quotePrefix="0" xfId="0"/>
    <xf numFmtId="0" fontId="3" fillId="2" borderId="0" applyAlignment="1" pivotButton="0" quotePrefix="0" xfId="0">
      <alignment horizontal="center" vertical="center" wrapText="1"/>
    </xf>
    <xf numFmtId="0" fontId="8" fillId="10" borderId="1" applyAlignment="1" pivotButton="0" quotePrefix="0" xfId="0">
      <alignment horizontal="center" vertical="center" wrapText="1"/>
    </xf>
    <xf numFmtId="0" fontId="8" fillId="11"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F79"/>
  <sheetViews>
    <sheetView showGridLines="0" workbookViewId="0">
      <pane ySplit="4" topLeftCell="A5" activePane="bottomLeft" state="frozen"/>
      <selection pane="bottomLeft" activeCell="A1" sqref="A1"/>
    </sheetView>
  </sheetViews>
  <sheetFormatPr baseColWidth="8" defaultRowHeight="15"/>
  <cols>
    <col width="5" customWidth="1" min="1" max="1"/>
    <col width="26" customWidth="1" min="2" max="2"/>
    <col width="72" customWidth="1" min="3" max="3"/>
    <col width="11" customWidth="1" min="4" max="4"/>
    <col width="13" customWidth="1" min="5" max="5"/>
    <col width="28" customWidth="1" min="6" max="6"/>
  </cols>
  <sheetData>
    <row r="1" ht="30" customHeight="1">
      <c r="A1" s="1" t="inlineStr">
        <is>
          <t>DEVELOPER SECURITY CHECKLIST  —  Development Phase Reference</t>
        </is>
      </c>
    </row>
    <row r="2" ht="18" customHeight="1">
      <c r="A2" s="2" t="inlineStr">
        <is>
          <t>Purpose: Prevent SQLi, Session Hijacking, WebSocket attacks (wscat), IDOR, XSS, CSRF, and other common vulnerabilities at the coding/development stage.</t>
        </is>
      </c>
    </row>
    <row r="3" ht="6" customHeight="1"/>
    <row r="4" ht="28" customHeight="1">
      <c r="A4" s="3" t="inlineStr">
        <is>
          <t>#</t>
        </is>
      </c>
      <c r="B4" s="3" t="inlineStr">
        <is>
          <t>Vulnerability / Risk</t>
        </is>
      </c>
      <c r="C4" s="3" t="inlineStr">
        <is>
          <t>What to Implement in Code / Dev</t>
        </is>
      </c>
      <c r="D4" s="3" t="inlineStr">
        <is>
          <t>Priority</t>
        </is>
      </c>
      <c r="E4" s="3" t="inlineStr">
        <is>
          <t>Status</t>
        </is>
      </c>
      <c r="F4" s="3" t="inlineStr">
        <is>
          <t>Notes / Evidence</t>
        </is>
      </c>
    </row>
    <row r="5" ht="22" customHeight="1">
      <c r="A5" s="4" t="inlineStr">
        <is>
          <t>SQL INJECTION (SQLi)</t>
        </is>
      </c>
    </row>
    <row r="6" ht="60" customHeight="1">
      <c r="A6" s="5" t="n">
        <v>1</v>
      </c>
      <c r="B6" s="6" t="inlineStr">
        <is>
          <t>Classic SQLi via user input</t>
        </is>
      </c>
      <c r="C6" s="7" t="inlineStr">
        <is>
          <t>Use parameterized queries / prepared statements in every DB call. NEVER build SQL strings by concatenating user input. Example (Python): cursor.execute('SELECT * FROM users WHERE id = %s', (user_id,)). Same applies to ORM raw() calls — always pass values as parameters, never f-strings.</t>
        </is>
      </c>
      <c r="D6" s="8" t="inlineStr">
        <is>
          <t>Critical</t>
        </is>
      </c>
      <c r="E6" s="8" t="inlineStr">
        <is>
          <t>Not Done</t>
        </is>
      </c>
      <c r="F6" s="7" t="inlineStr"/>
    </row>
    <row r="7" ht="60" customHeight="1">
      <c r="A7" s="9" t="n">
        <v>2</v>
      </c>
      <c r="B7" s="10" t="inlineStr">
        <is>
          <t>Second-order SQLi (stored then executed)</t>
        </is>
      </c>
      <c r="C7" s="11" t="inlineStr">
        <is>
          <t>Do not trust data fetched from the DB if it was originally user-supplied. Re-parameterize it on every subsequent query. Treat all DB-sourced strings as untrusted when constructing new queries.</t>
        </is>
      </c>
      <c r="D7" s="8" t="inlineStr">
        <is>
          <t>Critical</t>
        </is>
      </c>
      <c r="E7" s="8" t="inlineStr">
        <is>
          <t>Not Done</t>
        </is>
      </c>
      <c r="F7" s="11" t="inlineStr"/>
    </row>
    <row r="8" ht="60" customHeight="1">
      <c r="A8" s="5" t="n">
        <v>3</v>
      </c>
      <c r="B8" s="6" t="inlineStr">
        <is>
          <t>Blind SQLi via boolean/time-based probing</t>
        </is>
      </c>
      <c r="C8" s="7" t="inlineStr">
        <is>
          <t>Parameterized queries stop this at source. Additionally, never expose DB error messages to the client — catch exceptions server-side, log details internally, and return a generic error response.</t>
        </is>
      </c>
      <c r="D8" s="8" t="inlineStr">
        <is>
          <t>Critical</t>
        </is>
      </c>
      <c r="E8" s="8" t="inlineStr">
        <is>
          <t>Not Done</t>
        </is>
      </c>
      <c r="F8" s="7" t="inlineStr"/>
    </row>
    <row r="9" ht="60" customHeight="1">
      <c r="A9" s="9" t="n">
        <v>4</v>
      </c>
      <c r="B9" s="10" t="inlineStr">
        <is>
          <t>SQLi via HTTP headers (User-Agent, Referer, X-Forwarded-For)</t>
        </is>
      </c>
      <c r="C9" s="11" t="inlineStr">
        <is>
          <t>Validate and sanitize ALL fields written to DB, including headers and cookies — not just form fields. If storing headers, treat them as untrusted input and use parameterized inserts.</t>
        </is>
      </c>
      <c r="D9" s="12" t="inlineStr">
        <is>
          <t>High</t>
        </is>
      </c>
      <c r="E9" s="8" t="inlineStr">
        <is>
          <t>Not Done</t>
        </is>
      </c>
      <c r="F9" s="11" t="inlineStr"/>
    </row>
    <row r="10" ht="60" customHeight="1">
      <c r="A10" s="5" t="n">
        <v>5</v>
      </c>
      <c r="B10" s="6" t="inlineStr">
        <is>
          <t>SQLi via JSON / XML body parameters</t>
        </is>
      </c>
      <c r="C10" s="7" t="inlineStr">
        <is>
          <t>Validate data type and format of every field in JSON/XML payloads before DB use. Reject unexpected fields (strict schema validation). Disable XML external entity processing (XXE) in XML parsers.</t>
        </is>
      </c>
      <c r="D10" s="12" t="inlineStr">
        <is>
          <t>High</t>
        </is>
      </c>
      <c r="E10" s="8" t="inlineStr">
        <is>
          <t>Not Done</t>
        </is>
      </c>
      <c r="F10" s="7" t="inlineStr"/>
    </row>
    <row r="11" ht="60" customHeight="1">
      <c r="A11" s="9" t="n">
        <v>6</v>
      </c>
      <c r="B11" s="10" t="inlineStr">
        <is>
          <t>Stored procedure misuse still allows SQLi</t>
        </is>
      </c>
      <c r="C11" s="11" t="inlineStr">
        <is>
          <t>Even with stored procedures, pass values as parameters — do not build dynamic SQL inside the procedure using EXEC or sp_executesql with concatenated strings.</t>
        </is>
      </c>
      <c r="D11" s="12" t="inlineStr">
        <is>
          <t>High</t>
        </is>
      </c>
      <c r="E11" s="8" t="inlineStr">
        <is>
          <t>Not Done</t>
        </is>
      </c>
      <c r="F11" s="11" t="inlineStr"/>
    </row>
    <row r="12" ht="60" customHeight="1">
      <c r="A12" s="5" t="n">
        <v>7</v>
      </c>
      <c r="B12" s="6" t="inlineStr">
        <is>
          <t>Overly permissive DB account</t>
        </is>
      </c>
      <c r="C12" s="7" t="inlineStr">
        <is>
          <t>Application DB user should have only SELECT/INSERT/UPDATE/DELETE on its own tables. Remove DROP, ALTER, CREATE, FILE privileges. Use separate read-only accounts for reporting queries.</t>
        </is>
      </c>
      <c r="D12" s="12" t="inlineStr">
        <is>
          <t>High</t>
        </is>
      </c>
      <c r="E12" s="8" t="inlineStr">
        <is>
          <t>Not Done</t>
        </is>
      </c>
      <c r="F12" s="7" t="inlineStr"/>
    </row>
    <row r="13" ht="22" customHeight="1">
      <c r="A13" s="4" t="inlineStr">
        <is>
          <t>SESSION HIJACKING</t>
        </is>
      </c>
    </row>
    <row r="14" ht="60" customHeight="1">
      <c r="A14" s="9" t="n">
        <v>8</v>
      </c>
      <c r="B14" s="10" t="inlineStr">
        <is>
          <t>Predictable or short session token</t>
        </is>
      </c>
      <c r="C14" s="11" t="inlineStr">
        <is>
          <t>Generate session IDs using a cryptographically secure random source (e.g., secrets.token_hex(32) in Python, crypto.randomBytes(32) in Node). Minimum 128 bits of entropy. Never use user ID, timestamp, or sequential numbers as or within the session token.</t>
        </is>
      </c>
      <c r="D14" s="8" t="inlineStr">
        <is>
          <t>Critical</t>
        </is>
      </c>
      <c r="E14" s="8" t="inlineStr">
        <is>
          <t>Not Done</t>
        </is>
      </c>
      <c r="F14" s="11" t="inlineStr"/>
    </row>
    <row r="15" ht="60" customHeight="1">
      <c r="A15" s="5" t="n">
        <v>9</v>
      </c>
      <c r="B15" s="6" t="inlineStr">
        <is>
          <t>Session token transmitted in URL</t>
        </is>
      </c>
      <c r="C15" s="7" t="inlineStr">
        <is>
          <t>Never pass session tokens in query strings — they leak via browser history, Referer headers, and server logs. Deliver session tokens only via cookies with HttpOnly, Secure, and SameSite=Strict (or Lax) flags set.</t>
        </is>
      </c>
      <c r="D15" s="8" t="inlineStr">
        <is>
          <t>Critical</t>
        </is>
      </c>
      <c r="E15" s="8" t="inlineStr">
        <is>
          <t>Not Done</t>
        </is>
      </c>
      <c r="F15" s="7" t="inlineStr"/>
    </row>
    <row r="16" ht="60" customHeight="1">
      <c r="A16" s="9" t="n">
        <v>10</v>
      </c>
      <c r="B16" s="10" t="inlineStr">
        <is>
          <t>Session token stolen via XSS</t>
        </is>
      </c>
      <c r="C16" s="11" t="inlineStr">
        <is>
          <t>Set HttpOnly flag on session cookies so JavaScript cannot read them. Implement Content-Security-Policy (CSP) header to block injected scripts. Sanitize all output rendered into HTML — encode for the correct context (HTML body, attribute, JS, URL).</t>
        </is>
      </c>
      <c r="D16" s="8" t="inlineStr">
        <is>
          <t>Critical</t>
        </is>
      </c>
      <c r="E16" s="8" t="inlineStr">
        <is>
          <t>Not Done</t>
        </is>
      </c>
      <c r="F16" s="11" t="inlineStr"/>
    </row>
    <row r="17" ht="60" customHeight="1">
      <c r="A17" s="5" t="n">
        <v>11</v>
      </c>
      <c r="B17" s="6" t="inlineStr">
        <is>
          <t>Session fixation attack</t>
        </is>
      </c>
      <c r="C17" s="7" t="inlineStr">
        <is>
          <t>After successful login, immediately invalidate the pre-authentication session ID and issue a brand-new session token. This prevents an attacker who planted a known session ID from taking over the authenticated session.</t>
        </is>
      </c>
      <c r="D17" s="8" t="inlineStr">
        <is>
          <t>Critical</t>
        </is>
      </c>
      <c r="E17" s="8" t="inlineStr">
        <is>
          <t>Not Done</t>
        </is>
      </c>
      <c r="F17" s="7" t="inlineStr"/>
    </row>
    <row r="18" ht="60" customHeight="1">
      <c r="A18" s="9" t="n">
        <v>12</v>
      </c>
      <c r="B18" s="10" t="inlineStr">
        <is>
          <t>Session not invalidated on logout</t>
        </is>
      </c>
      <c r="C18" s="11" t="inlineStr">
        <is>
          <t>On logout, delete the session record from the server-side store and expire the cookie. A client-side-only cookie deletion is insufficient — the token must be invalidated server-side so replaying it returns 401.</t>
        </is>
      </c>
      <c r="D18" s="8" t="inlineStr">
        <is>
          <t>Critical</t>
        </is>
      </c>
      <c r="E18" s="8" t="inlineStr">
        <is>
          <t>Not Done</t>
        </is>
      </c>
      <c r="F18" s="11" t="inlineStr"/>
    </row>
    <row r="19" ht="60" customHeight="1">
      <c r="A19" s="5" t="n">
        <v>13</v>
      </c>
      <c r="B19" s="6" t="inlineStr">
        <is>
          <t>No session expiry (idle / absolute timeout)</t>
        </is>
      </c>
      <c r="C19" s="7" t="inlineStr">
        <is>
          <t>Enforce two timeouts: (1) idle timeout — invalidate after N minutes of inactivity (e.g., 15–30 min); (2) absolute timeout — force re-login after a max duration (e.g., 8–24 hrs) regardless of activity.</t>
        </is>
      </c>
      <c r="D19" s="12" t="inlineStr">
        <is>
          <t>High</t>
        </is>
      </c>
      <c r="E19" s="8" t="inlineStr">
        <is>
          <t>Not Done</t>
        </is>
      </c>
      <c r="F19" s="7" t="inlineStr"/>
    </row>
    <row r="20" ht="60" customHeight="1">
      <c r="A20" s="9" t="n">
        <v>14</v>
      </c>
      <c r="B20" s="10" t="inlineStr">
        <is>
          <t>Session not invalidated on password or role change</t>
        </is>
      </c>
      <c r="C20" s="11" t="inlineStr">
        <is>
          <t>When a user changes their password or their role is revoked/changed, immediately invalidate ALL existing sessions for that user — not just the current one.</t>
        </is>
      </c>
      <c r="D20" s="12" t="inlineStr">
        <is>
          <t>High</t>
        </is>
      </c>
      <c r="E20" s="8" t="inlineStr">
        <is>
          <t>Not Done</t>
        </is>
      </c>
      <c r="F20" s="11" t="inlineStr"/>
    </row>
    <row r="21" ht="60" customHeight="1">
      <c r="A21" s="5" t="n">
        <v>15</v>
      </c>
      <c r="B21" s="6" t="inlineStr">
        <is>
          <t>Session token leaks in logs</t>
        </is>
      </c>
      <c r="C21" s="7" t="inlineStr">
        <is>
          <t>Scrub session tokens from all log output. In middleware/logging config, mask or omit Cookie headers and Authorization headers before writing to log files or SIEM.</t>
        </is>
      </c>
      <c r="D21" s="12" t="inlineStr">
        <is>
          <t>High</t>
        </is>
      </c>
      <c r="E21" s="8" t="inlineStr">
        <is>
          <t>Not Done</t>
        </is>
      </c>
      <c r="F21" s="7" t="inlineStr"/>
    </row>
    <row r="22" ht="60" customHeight="1">
      <c r="A22" s="9" t="n">
        <v>16</v>
      </c>
      <c r="B22" s="10" t="inlineStr">
        <is>
          <t>Concurrent session abuse</t>
        </is>
      </c>
      <c r="C22" s="11" t="inlineStr">
        <is>
          <t>Optionally limit the number of active sessions per user account. On new login, either alert the user or invalidate older sessions to prevent credential sharing or use after account compromise.</t>
        </is>
      </c>
      <c r="D22" s="13" t="inlineStr">
        <is>
          <t>Medium</t>
        </is>
      </c>
      <c r="E22" s="8" t="inlineStr">
        <is>
          <t>Not Done</t>
        </is>
      </c>
      <c r="F22" s="11" t="inlineStr"/>
    </row>
    <row r="23" ht="22" customHeight="1">
      <c r="A23" s="4" t="inlineStr">
        <is>
          <t>WEBSOCKET SECURITY (wscat / tool-based attacks)</t>
        </is>
      </c>
    </row>
    <row r="24" ht="60" customHeight="1">
      <c r="A24" s="5" t="n">
        <v>17</v>
      </c>
      <c r="B24" s="6" t="inlineStr">
        <is>
          <t>Unauthenticated WebSocket connection</t>
        </is>
      </c>
      <c r="C24" s="7" t="inlineStr">
        <is>
          <t>Authenticate BEFORE or immediately AFTER the WebSocket handshake. Do not rely solely on browser-based checks — tools like wscat can connect directly. Validate a token (JWT, session cookie) in the HTTP upgrade request or in the first message frame before processing any data.</t>
        </is>
      </c>
      <c r="D24" s="8" t="inlineStr">
        <is>
          <t>Critical</t>
        </is>
      </c>
      <c r="E24" s="8" t="inlineStr">
        <is>
          <t>Not Done</t>
        </is>
      </c>
      <c r="F24" s="7" t="inlineStr"/>
    </row>
    <row r="25" ht="60" customHeight="1">
      <c r="A25" s="9" t="n">
        <v>18</v>
      </c>
      <c r="B25" s="10" t="inlineStr">
        <is>
          <t>No origin validation on WebSocket handshake</t>
        </is>
      </c>
      <c r="C25" s="11" t="inlineStr">
        <is>
          <t>In the server's WebSocket upgrade handler, check the Origin header against an allowlist of trusted domains. Reject connections from unknown origins. Note: Origin can be spoofed by non-browser clients (wscat), so this must be combined with token authentication — not used alone.</t>
        </is>
      </c>
      <c r="D25" s="8" t="inlineStr">
        <is>
          <t>Critical</t>
        </is>
      </c>
      <c r="E25" s="8" t="inlineStr">
        <is>
          <t>Not Done</t>
        </is>
      </c>
      <c r="F25" s="11" t="inlineStr"/>
    </row>
    <row r="26" ht="60" customHeight="1">
      <c r="A26" s="5" t="n">
        <v>19</v>
      </c>
      <c r="B26" s="6" t="inlineStr">
        <is>
          <t>CSRF via WebSocket cross-site connection</t>
        </is>
      </c>
      <c r="C26" s="7" t="inlineStr">
        <is>
          <t>Because browsers send cookies with WebSocket upgrade requests, a malicious page can initiate a cross-site WebSocket connection. Mitigate by: (1) validating Origin, (2) requiring an explicit auth token in the first message (not just a cookie), (3) setting SameSite=Strict on session cookies.</t>
        </is>
      </c>
      <c r="D26" s="8" t="inlineStr">
        <is>
          <t>Critical</t>
        </is>
      </c>
      <c r="E26" s="8" t="inlineStr">
        <is>
          <t>Not Done</t>
        </is>
      </c>
      <c r="F26" s="7" t="inlineStr"/>
    </row>
    <row r="27" ht="60" customHeight="1">
      <c r="A27" s="9" t="n">
        <v>20</v>
      </c>
      <c r="B27" s="10" t="inlineStr">
        <is>
          <t>No input validation on WebSocket messages</t>
        </is>
      </c>
      <c r="C27" s="11" t="inlineStr">
        <is>
          <t>Validate and sanitize every message received over WebSocket exactly as you would an HTTP request body — check type, length, schema, and content. WebSocket messages bypass standard HTTP middleware; add explicit validation at the message handler level.</t>
        </is>
      </c>
      <c r="D27" s="8" t="inlineStr">
        <is>
          <t>Critical</t>
        </is>
      </c>
      <c r="E27" s="8" t="inlineStr">
        <is>
          <t>Not Done</t>
        </is>
      </c>
      <c r="F27" s="11" t="inlineStr"/>
    </row>
    <row r="28" ht="60" customHeight="1">
      <c r="A28" s="5" t="n">
        <v>21</v>
      </c>
      <c r="B28" s="6" t="inlineStr">
        <is>
          <t>No rate limiting on WebSocket messages</t>
        </is>
      </c>
      <c r="C28" s="7" t="inlineStr">
        <is>
          <t>Implement per-connection message rate limits to prevent flooding / DoS. Close the connection after N messages per second or per minute. Also enforce maximum message payload size to prevent memory exhaustion.</t>
        </is>
      </c>
      <c r="D28" s="12" t="inlineStr">
        <is>
          <t>High</t>
        </is>
      </c>
      <c r="E28" s="8" t="inlineStr">
        <is>
          <t>Not Done</t>
        </is>
      </c>
      <c r="F28" s="7" t="inlineStr"/>
    </row>
    <row r="29" ht="60" customHeight="1">
      <c r="A29" s="9" t="n">
        <v>22</v>
      </c>
      <c r="B29" s="10" t="inlineStr">
        <is>
          <t>Authorization not checked on each WebSocket action</t>
        </is>
      </c>
      <c r="C29" s="11" t="inlineStr">
        <is>
          <t>Check authorization on every individual WebSocket message/action — not just at connect time. A user authorized to connect may not be authorized for every operation they send over the socket.</t>
        </is>
      </c>
      <c r="D29" s="12" t="inlineStr">
        <is>
          <t>High</t>
        </is>
      </c>
      <c r="E29" s="8" t="inlineStr">
        <is>
          <t>Not Done</t>
        </is>
      </c>
      <c r="F29" s="11" t="inlineStr"/>
    </row>
    <row r="30" ht="60" customHeight="1">
      <c r="A30" s="5" t="n">
        <v>23</v>
      </c>
      <c r="B30" s="6" t="inlineStr">
        <is>
          <t>WebSocket data processed without sanitization leads to XSS</t>
        </is>
      </c>
      <c r="C30" s="7" t="inlineStr">
        <is>
          <t>If WebSocket messages are rendered into the DOM, sanitize or encode them before insertion. Use textContent instead of innerHTML, or apply a trusted HTML sanitizer library. Never trust message content from the wire.</t>
        </is>
      </c>
      <c r="D30" s="12" t="inlineStr">
        <is>
          <t>High</t>
        </is>
      </c>
      <c r="E30" s="8" t="inlineStr">
        <is>
          <t>Not Done</t>
        </is>
      </c>
      <c r="F30" s="7" t="inlineStr"/>
    </row>
    <row r="31" ht="60" customHeight="1">
      <c r="A31" s="9" t="n">
        <v>24</v>
      </c>
      <c r="B31" s="10" t="inlineStr">
        <is>
          <t>Plaintext WebSocket (ws://) in production</t>
        </is>
      </c>
      <c r="C31" s="11" t="inlineStr">
        <is>
          <t>Use WSS (WebSocket Secure — wss://) only. WSS runs WebSocket over TLS, preventing eavesdropping and man-in-the-middle modification of message frames. Redirect or reject plain ws:// connections on the server.</t>
        </is>
      </c>
      <c r="D31" s="8" t="inlineStr">
        <is>
          <t>Critical</t>
        </is>
      </c>
      <c r="E31" s="8" t="inlineStr">
        <is>
          <t>Not Done</t>
        </is>
      </c>
      <c r="F31" s="11" t="inlineStr"/>
    </row>
    <row r="32" ht="60" customHeight="1">
      <c r="A32" s="5" t="n">
        <v>25</v>
      </c>
      <c r="B32" s="6" t="inlineStr">
        <is>
          <t>No connection timeout or cleanup</t>
        </is>
      </c>
      <c r="C32" s="7" t="inlineStr">
        <is>
          <t>Set server-side idle timeout for WebSocket connections. Close and clean up server resources for connections that have been silent beyond the threshold. Send periodic ping/pong frames and close on missed pong responses.</t>
        </is>
      </c>
      <c r="D32" s="13" t="inlineStr">
        <is>
          <t>Medium</t>
        </is>
      </c>
      <c r="E32" s="8" t="inlineStr">
        <is>
          <t>Not Done</t>
        </is>
      </c>
      <c r="F32" s="7" t="inlineStr"/>
    </row>
    <row r="33" ht="22" customHeight="1">
      <c r="A33" s="4" t="inlineStr">
        <is>
          <t>INSECURE DIRECT OBJECT REFERENCE (IDOR)</t>
        </is>
      </c>
    </row>
    <row r="34" ht="60" customHeight="1">
      <c r="A34" s="9" t="n">
        <v>26</v>
      </c>
      <c r="B34" s="10" t="inlineStr">
        <is>
          <t>Direct numeric ID in URL/parameter allows accessing other users' data</t>
        </is>
      </c>
      <c r="C34" s="11" t="inlineStr">
        <is>
          <t>On EVERY request that fetches or modifies a resource, verify that the authenticated user owns or is explicitly authorized to access that specific object. Example (wrong): SELECT * FROM orders WHERE id = :id  Example (correct): SELECT * FROM orders WHERE id = :id AND user_id = :current_user_id. Never assume that a valid session alone authorizes access to every object.</t>
        </is>
      </c>
      <c r="D34" s="8" t="inlineStr">
        <is>
          <t>Critical</t>
        </is>
      </c>
      <c r="E34" s="8" t="inlineStr">
        <is>
          <t>Not Done</t>
        </is>
      </c>
      <c r="F34" s="11" t="inlineStr"/>
    </row>
    <row r="35" ht="60" customHeight="1">
      <c r="A35" s="5" t="n">
        <v>27</v>
      </c>
      <c r="B35" s="6" t="inlineStr">
        <is>
          <t>Sequential or predictable object IDs</t>
        </is>
      </c>
      <c r="C35" s="7" t="inlineStr">
        <is>
          <t>Use non-guessable identifiers such as UUID v4 (e.g., 550e8400-e29b-41d4-a716-446655440000) instead of sequential integers for externally visible resource IDs. This raises the bar but does NOT replace server-side authorization checks.</t>
        </is>
      </c>
      <c r="D35" s="12" t="inlineStr">
        <is>
          <t>High</t>
        </is>
      </c>
      <c r="E35" s="8" t="inlineStr">
        <is>
          <t>Not Done</t>
        </is>
      </c>
      <c r="F35" s="7" t="inlineStr"/>
    </row>
    <row r="36" ht="60" customHeight="1">
      <c r="A36" s="9" t="n">
        <v>28</v>
      </c>
      <c r="B36" s="10" t="inlineStr">
        <is>
          <t>IDOR on file downloads (path traversal variant)</t>
        </is>
      </c>
      <c r="C36" s="11" t="inlineStr">
        <is>
          <t>Never build file paths from user input directly. Map user-supplied identifiers to real file paths on the server using a lookup table. Validate that the resolved path is within the expected directory (canonicalize the path and check prefix).</t>
        </is>
      </c>
      <c r="D36" s="8" t="inlineStr">
        <is>
          <t>Critical</t>
        </is>
      </c>
      <c r="E36" s="8" t="inlineStr">
        <is>
          <t>Not Done</t>
        </is>
      </c>
      <c r="F36" s="11" t="inlineStr"/>
    </row>
    <row r="37" ht="60" customHeight="1">
      <c r="A37" s="5" t="n">
        <v>29</v>
      </c>
      <c r="B37" s="6" t="inlineStr">
        <is>
          <t>IDOR via indirect references (e.g., username in JSON body)</t>
        </is>
      </c>
      <c r="C37" s="7" t="inlineStr">
        <is>
          <t>When the request body contains a user reference (email, username, account number), ignore that field for authorization — always derive the acting user from the authenticated session, not from client-supplied data.</t>
        </is>
      </c>
      <c r="D37" s="8" t="inlineStr">
        <is>
          <t>Critical</t>
        </is>
      </c>
      <c r="E37" s="8" t="inlineStr">
        <is>
          <t>Not Done</t>
        </is>
      </c>
      <c r="F37" s="7" t="inlineStr"/>
    </row>
    <row r="38" ht="60" customHeight="1">
      <c r="A38" s="9" t="n">
        <v>30</v>
      </c>
      <c r="B38" s="10" t="inlineStr">
        <is>
          <t>Mass assignment overwrites protected fields (IDOR variant)</t>
        </is>
      </c>
      <c r="C38" s="11" t="inlineStr">
        <is>
          <t>In frameworks that auto-bind request parameters to model objects (Rails, Spring, Django), explicitly allowlist the fields that a user may set. Block fields like user_id, role, is_admin, account_balance from being set by user-supplied data.</t>
        </is>
      </c>
      <c r="D38" s="12" t="inlineStr">
        <is>
          <t>High</t>
        </is>
      </c>
      <c r="E38" s="8" t="inlineStr">
        <is>
          <t>Not Done</t>
        </is>
      </c>
      <c r="F38" s="11" t="inlineStr"/>
    </row>
    <row r="39" ht="60" customHeight="1">
      <c r="A39" s="5" t="n">
        <v>31</v>
      </c>
      <c r="B39" s="6" t="inlineStr">
        <is>
          <t>IDOR in API endpoints not covered by UI testing</t>
        </is>
      </c>
      <c r="C39" s="7" t="inlineStr">
        <is>
          <t>Audit every API endpoint — not just those reachable from the frontend UI. Automated tools and manual testers probe endpoints directly. Every route that touches a resource must enforce the same ownership/authorization check.</t>
        </is>
      </c>
      <c r="D39" s="12" t="inlineStr">
        <is>
          <t>High</t>
        </is>
      </c>
      <c r="E39" s="8" t="inlineStr">
        <is>
          <t>Not Done</t>
        </is>
      </c>
      <c r="F39" s="7" t="inlineStr"/>
    </row>
    <row r="40" ht="60" customHeight="1">
      <c r="A40" s="9" t="n">
        <v>32</v>
      </c>
      <c r="B40" s="10" t="inlineStr">
        <is>
          <t>Horizontal privilege escalation (user A accesses user B's data)</t>
        </is>
      </c>
      <c r="C40" s="11" t="inlineStr">
        <is>
          <t>Perform authorization checks at the data layer, not just route-level middleware. A user with a valid session for their own account must not be able to read or modify another user's records by changing an ID parameter.</t>
        </is>
      </c>
      <c r="D40" s="8" t="inlineStr">
        <is>
          <t>Critical</t>
        </is>
      </c>
      <c r="E40" s="8" t="inlineStr">
        <is>
          <t>Not Done</t>
        </is>
      </c>
      <c r="F40" s="11" t="inlineStr"/>
    </row>
    <row r="41" ht="60" customHeight="1">
      <c r="A41" s="5" t="n">
        <v>33</v>
      </c>
      <c r="B41" s="6" t="inlineStr">
        <is>
          <t>Vertical privilege escalation (regular user accesses admin resource)</t>
        </is>
      </c>
      <c r="C41" s="7" t="inlineStr">
        <is>
          <t>Each privileged endpoint must verify that the authenticated user has the required role — do not check roles only at the UI layer. Test that removing/changing the role claim in the token returns 403, not the admin response.</t>
        </is>
      </c>
      <c r="D41" s="8" t="inlineStr">
        <is>
          <t>Critical</t>
        </is>
      </c>
      <c r="E41" s="8" t="inlineStr">
        <is>
          <t>Not Done</t>
        </is>
      </c>
      <c r="F41" s="7" t="inlineStr"/>
    </row>
    <row r="42" ht="22" customHeight="1">
      <c r="A42" s="4" t="inlineStr">
        <is>
          <t>CROSS-SITE SCRIPTING (XSS)</t>
        </is>
      </c>
    </row>
    <row r="43" ht="60" customHeight="1">
      <c r="A43" s="9" t="n">
        <v>34</v>
      </c>
      <c r="B43" s="10" t="inlineStr">
        <is>
          <t>Reflected XSS — unsanitized input echoed in response</t>
        </is>
      </c>
      <c r="C43" s="11" t="inlineStr">
        <is>
          <t>Encode all user-supplied data before inserting into HTML. Use context-aware encoding: HTML-encode for HTML body, attribute-encode for tag attributes, JS-encode for script contexts, URL-encode for href/src. Use a trusted library (e.g., OWASP Java Encoder, DOMPurify for client-side).</t>
        </is>
      </c>
      <c r="D43" s="8" t="inlineStr">
        <is>
          <t>Critical</t>
        </is>
      </c>
      <c r="E43" s="8" t="inlineStr">
        <is>
          <t>Not Done</t>
        </is>
      </c>
      <c r="F43" s="11" t="inlineStr"/>
    </row>
    <row r="44" ht="60" customHeight="1">
      <c r="A44" s="5" t="n">
        <v>35</v>
      </c>
      <c r="B44" s="6" t="inlineStr">
        <is>
          <t>Stored XSS — malicious script saved to DB and rendered later</t>
        </is>
      </c>
      <c r="C44" s="7" t="inlineStr">
        <is>
          <t>Sanitize on OUTPUT, not just on input. Encode every field from the DB before rendering into HTML. Do not mark user-generated content as safe/trusted in your template engine (e.g., avoid | safe in Jinja2, v-html in Vue for user data).</t>
        </is>
      </c>
      <c r="D44" s="8" t="inlineStr">
        <is>
          <t>Critical</t>
        </is>
      </c>
      <c r="E44" s="8" t="inlineStr">
        <is>
          <t>Not Done</t>
        </is>
      </c>
      <c r="F44" s="7" t="inlineStr"/>
    </row>
    <row r="45" ht="60" customHeight="1">
      <c r="A45" s="9" t="n">
        <v>36</v>
      </c>
      <c r="B45" s="10" t="inlineStr">
        <is>
          <t>DOM-based XSS — JavaScript reads attacker-controlled source</t>
        </is>
      </c>
      <c r="C45" s="11" t="inlineStr">
        <is>
          <t>Avoid passing untrusted data into dangerous JavaScript sinks: innerHTML, document.write, eval(), setTimeout/setInterval with string arguments, location.href = userInput. Use textContent, setAttribute safely, and DOMPurify for rich text.</t>
        </is>
      </c>
      <c r="D45" s="8" t="inlineStr">
        <is>
          <t>Critical</t>
        </is>
      </c>
      <c r="E45" s="8" t="inlineStr">
        <is>
          <t>Not Done</t>
        </is>
      </c>
      <c r="F45" s="11" t="inlineStr"/>
    </row>
    <row r="46" ht="60" customHeight="1">
      <c r="A46" s="5" t="n">
        <v>37</v>
      </c>
      <c r="B46" s="6" t="inlineStr">
        <is>
          <t>Missing Content Security Policy (CSP)</t>
        </is>
      </c>
      <c r="C46" s="7" t="inlineStr">
        <is>
          <t>Deploy a CSP header that restricts script sources to a known allowlist. Start with default-src 'self'; script-src 'self'; object-src 'none'. Avoid 'unsafe-inline' and 'unsafe-eval'. CSP is a second line of defence — output encoding is still required.</t>
        </is>
      </c>
      <c r="D46" s="12" t="inlineStr">
        <is>
          <t>High</t>
        </is>
      </c>
      <c r="E46" s="8" t="inlineStr">
        <is>
          <t>Not Done</t>
        </is>
      </c>
      <c r="F46" s="7" t="inlineStr"/>
    </row>
    <row r="47" ht="22" customHeight="1">
      <c r="A47" s="4" t="inlineStr">
        <is>
          <t>CROSS-SITE REQUEST FORGERY (CSRF)</t>
        </is>
      </c>
    </row>
    <row r="48" ht="60" customHeight="1">
      <c r="A48" s="9" t="n">
        <v>38</v>
      </c>
      <c r="B48" s="10" t="inlineStr">
        <is>
          <t>State-changing requests forgeable from another origin</t>
        </is>
      </c>
      <c r="C48" s="11" t="inlineStr">
        <is>
          <t>Attach a unique, unpredictable CSRF token to every state-changing request (POST, PUT, DELETE, PATCH). Generate the token server-side, store it in the session, and validate it on the server before processing the action. Reject requests with missing or mismatched tokens.</t>
        </is>
      </c>
      <c r="D48" s="8" t="inlineStr">
        <is>
          <t>Critical</t>
        </is>
      </c>
      <c r="E48" s="8" t="inlineStr">
        <is>
          <t>Not Done</t>
        </is>
      </c>
      <c r="F48" s="11" t="inlineStr"/>
    </row>
    <row r="49" ht="60" customHeight="1">
      <c r="A49" s="5" t="n">
        <v>39</v>
      </c>
      <c r="B49" s="6" t="inlineStr">
        <is>
          <t>CSRF via same-site cookie misconfiguration</t>
        </is>
      </c>
      <c r="C49" s="7" t="inlineStr">
        <is>
          <t>Set SameSite=Strict or SameSite=Lax on session cookies. SameSite=Strict prevents the browser from sending the cookie on cross-origin requests entirely. This is a defence-in-depth measure alongside explicit CSRF tokens.</t>
        </is>
      </c>
      <c r="D49" s="12" t="inlineStr">
        <is>
          <t>High</t>
        </is>
      </c>
      <c r="E49" s="8" t="inlineStr">
        <is>
          <t>Not Done</t>
        </is>
      </c>
      <c r="F49" s="7" t="inlineStr"/>
    </row>
    <row r="50" ht="60" customHeight="1">
      <c r="A50" s="9" t="n">
        <v>40</v>
      </c>
      <c r="B50" s="10" t="inlineStr">
        <is>
          <t>CSRF via CORS misconfiguration</t>
        </is>
      </c>
      <c r="C50" s="11" t="inlineStr">
        <is>
          <t>Never set Access-Control-Allow-Origin: * for endpoints that handle authenticated actions. Use an explicit allowlist of trusted origins. Do not set Access-Control-Allow-Credentials: true with a wildcard origin.</t>
        </is>
      </c>
      <c r="D50" s="8" t="inlineStr">
        <is>
          <t>Critical</t>
        </is>
      </c>
      <c r="E50" s="8" t="inlineStr">
        <is>
          <t>Not Done</t>
        </is>
      </c>
      <c r="F50" s="11" t="inlineStr"/>
    </row>
    <row r="51" ht="22" customHeight="1">
      <c r="A51" s="4" t="inlineStr">
        <is>
          <t>AUTHENTICATION &amp; PASSWORD SECURITY</t>
        </is>
      </c>
    </row>
    <row r="52" ht="60" customHeight="1">
      <c r="A52" s="5" t="n">
        <v>41</v>
      </c>
      <c r="B52" s="6" t="inlineStr">
        <is>
          <t>Passwords stored in plaintext or weak hash (MD5, SHA1)</t>
        </is>
      </c>
      <c r="C52" s="7" t="inlineStr">
        <is>
          <t>Hash passwords with bcrypt, Argon2id, or scrypt with appropriate cost parameters. Never store plaintext, base64-encoded, or MD5/SHA1 hashed passwords. Use the hashing library's built-in verify function — do not re-hash for comparison.</t>
        </is>
      </c>
      <c r="D52" s="8" t="inlineStr">
        <is>
          <t>Critical</t>
        </is>
      </c>
      <c r="E52" s="8" t="inlineStr">
        <is>
          <t>Not Done</t>
        </is>
      </c>
      <c r="F52" s="7" t="inlineStr"/>
    </row>
    <row r="53" ht="60" customHeight="1">
      <c r="A53" s="9" t="n">
        <v>42</v>
      </c>
      <c r="B53" s="10" t="inlineStr">
        <is>
          <t>No brute-force protection on login endpoint</t>
        </is>
      </c>
      <c r="C53" s="11" t="inlineStr">
        <is>
          <t>Implement account lockout (e.g., lock after 5 failed attempts, unlock after 15 min) or exponential back-off delays. Additionally, rate-limit login attempts per IP. Return the same error message for unknown username and wrong password to prevent username enumeration.</t>
        </is>
      </c>
      <c r="D53" s="8" t="inlineStr">
        <is>
          <t>Critical</t>
        </is>
      </c>
      <c r="E53" s="8" t="inlineStr">
        <is>
          <t>Not Done</t>
        </is>
      </c>
      <c r="F53" s="11" t="inlineStr"/>
    </row>
    <row r="54" ht="60" customHeight="1">
      <c r="A54" s="5" t="n">
        <v>43</v>
      </c>
      <c r="B54" s="6" t="inlineStr">
        <is>
          <t>Insecure password reset flow</t>
        </is>
      </c>
      <c r="C54" s="7" t="inlineStr">
        <is>
          <t>Use a cryptographically random, single-use, time-limited token (expire in 15–60 min) for password reset links. Deliver the token only via email to the registered address. Invalidate the token immediately after use.</t>
        </is>
      </c>
      <c r="D54" s="8" t="inlineStr">
        <is>
          <t>Critical</t>
        </is>
      </c>
      <c r="E54" s="8" t="inlineStr">
        <is>
          <t>Not Done</t>
        </is>
      </c>
      <c r="F54" s="7" t="inlineStr"/>
    </row>
    <row r="55" ht="60" customHeight="1">
      <c r="A55" s="9" t="n">
        <v>44</v>
      </c>
      <c r="B55" s="10" t="inlineStr">
        <is>
          <t>JWT algorithm confusion or no signature verification</t>
        </is>
      </c>
      <c r="C55" s="11" t="inlineStr">
        <is>
          <t>On the server, always specify the expected algorithm explicitly (e.g., HS256 or RS256) — never accept 'none' as an algorithm. Verify the token's signature, expiry (exp), issuer (iss), and audience (aud) on every request.</t>
        </is>
      </c>
      <c r="D55" s="8" t="inlineStr">
        <is>
          <t>Critical</t>
        </is>
      </c>
      <c r="E55" s="8" t="inlineStr">
        <is>
          <t>Not Done</t>
        </is>
      </c>
      <c r="F55" s="11" t="inlineStr"/>
    </row>
    <row r="56" ht="60" customHeight="1">
      <c r="A56" s="5" t="n">
        <v>45</v>
      </c>
      <c r="B56" s="6" t="inlineStr">
        <is>
          <t>Sensitive data in JWT payload</t>
        </is>
      </c>
      <c r="C56" s="7" t="inlineStr">
        <is>
          <t>JWT payloads are base64-encoded, not encrypted — anyone can decode them. Never include passwords, PII, or secrets in a JWT payload unless the token is encrypted (JWE). Keep payloads minimal: user ID, role, expiry.</t>
        </is>
      </c>
      <c r="D56" s="12" t="inlineStr">
        <is>
          <t>High</t>
        </is>
      </c>
      <c r="E56" s="8" t="inlineStr">
        <is>
          <t>Not Done</t>
        </is>
      </c>
      <c r="F56" s="7" t="inlineStr"/>
    </row>
    <row r="57" ht="22" customHeight="1">
      <c r="A57" s="4" t="inlineStr">
        <is>
          <t>INPUT VALIDATION &amp; SANITIZATION</t>
        </is>
      </c>
    </row>
    <row r="58" ht="60" customHeight="1">
      <c r="A58" s="9" t="n">
        <v>46</v>
      </c>
      <c r="B58" s="10" t="inlineStr">
        <is>
          <t>Client-side-only validation (easily bypassed)</t>
        </is>
      </c>
      <c r="C58" s="11" t="inlineStr">
        <is>
          <t>All validation MUST be duplicated on the server. Client-side validation is UX only. An attacker using curl, Postman, or Burp Suite bypasses the browser entirely. Every field must be validated for type, length, format, and allowed range server-side before processing or storing.</t>
        </is>
      </c>
      <c r="D58" s="8" t="inlineStr">
        <is>
          <t>Critical</t>
        </is>
      </c>
      <c r="E58" s="8" t="inlineStr">
        <is>
          <t>Not Done</t>
        </is>
      </c>
      <c r="F58" s="11" t="inlineStr"/>
    </row>
    <row r="59" ht="60" customHeight="1">
      <c r="A59" s="5" t="n">
        <v>47</v>
      </c>
      <c r="B59" s="6" t="inlineStr">
        <is>
          <t>Unchecked file upload (type, size, content)</t>
        </is>
      </c>
      <c r="C59" s="7" t="inlineStr">
        <is>
          <t>Validate file type by reading magic bytes (file signature), not just the extension or MIME type in the Content-Type header (both are user-controlled). Enforce max file size. Store uploaded files outside the web root. Rename files on save — never use the user-supplied filename.</t>
        </is>
      </c>
      <c r="D59" s="8" t="inlineStr">
        <is>
          <t>Critical</t>
        </is>
      </c>
      <c r="E59" s="8" t="inlineStr">
        <is>
          <t>Not Done</t>
        </is>
      </c>
      <c r="F59" s="7" t="inlineStr"/>
    </row>
    <row r="60" ht="60" customHeight="1">
      <c r="A60" s="9" t="n">
        <v>48</v>
      </c>
      <c r="B60" s="10" t="inlineStr">
        <is>
          <t>Path traversal via filename or path parameter</t>
        </is>
      </c>
      <c r="C60" s="11" t="inlineStr">
        <is>
          <t>Never construct file system paths from user input. Canonicalize (resolve symlinks, .., ./ sequences) and verify the resulting path starts with the expected base directory. Use os.path.realpath() / Path.resolve() and compare prefix before any file operation.</t>
        </is>
      </c>
      <c r="D60" s="8" t="inlineStr">
        <is>
          <t>Critical</t>
        </is>
      </c>
      <c r="E60" s="8" t="inlineStr">
        <is>
          <t>Not Done</t>
        </is>
      </c>
      <c r="F60" s="11" t="inlineStr"/>
    </row>
    <row r="61" ht="60" customHeight="1">
      <c r="A61" s="5" t="n">
        <v>49</v>
      </c>
      <c r="B61" s="6" t="inlineStr">
        <is>
          <t>Command injection via unsanitized input passed to shell</t>
        </is>
      </c>
      <c r="C61" s="7" t="inlineStr">
        <is>
          <t>Avoid passing user input to OS shell commands. If unavoidable, use subprocess with a list of arguments (no shell=True in Python) so the input is never interpreted by the shell. Allowlist permitted characters if shell is required.</t>
        </is>
      </c>
      <c r="D61" s="8" t="inlineStr">
        <is>
          <t>Critical</t>
        </is>
      </c>
      <c r="E61" s="8" t="inlineStr">
        <is>
          <t>Not Done</t>
        </is>
      </c>
      <c r="F61" s="7" t="inlineStr"/>
    </row>
    <row r="62" ht="22" customHeight="1">
      <c r="A62" s="4" t="inlineStr">
        <is>
          <t>SENSITIVE DATA EXPOSURE</t>
        </is>
      </c>
    </row>
    <row r="63" ht="60" customHeight="1">
      <c r="A63" s="9" t="n">
        <v>50</v>
      </c>
      <c r="B63" s="10" t="inlineStr">
        <is>
          <t>Secrets / API keys committed to source control</t>
        </is>
      </c>
      <c r="C63" s="11" t="inlineStr">
        <is>
          <t>Store all secrets (DB passwords, API keys, private keys, tokens) in environment variables or a secrets manager (Vault, AWS Secrets Manager, etc.). Add a pre-commit hook (git-secrets, truffleHog) to prevent accidental commits. Rotate any secret that has ever been committed.</t>
        </is>
      </c>
      <c r="D63" s="8" t="inlineStr">
        <is>
          <t>Critical</t>
        </is>
      </c>
      <c r="E63" s="8" t="inlineStr">
        <is>
          <t>Not Done</t>
        </is>
      </c>
      <c r="F63" s="11" t="inlineStr"/>
    </row>
    <row r="64" ht="60" customHeight="1">
      <c r="A64" s="5" t="n">
        <v>51</v>
      </c>
      <c r="B64" s="6" t="inlineStr">
        <is>
          <t>Sensitive data returned in API responses unnecessarily</t>
        </is>
      </c>
      <c r="C64" s="7" t="inlineStr">
        <is>
          <t>Apply response filtering — return only the fields the client needs. Never include internal IDs, password hashes, full card numbers, SSNs, or internal configuration in API responses. Define explicit response schemas.</t>
        </is>
      </c>
      <c r="D64" s="12" t="inlineStr">
        <is>
          <t>High</t>
        </is>
      </c>
      <c r="E64" s="8" t="inlineStr">
        <is>
          <t>Not Done</t>
        </is>
      </c>
      <c r="F64" s="7" t="inlineStr"/>
    </row>
    <row r="65" ht="60" customHeight="1">
      <c r="A65" s="9" t="n">
        <v>52</v>
      </c>
      <c r="B65" s="10" t="inlineStr">
        <is>
          <t>Stack traces and internal errors exposed to the client</t>
        </is>
      </c>
      <c r="C65" s="11" t="inlineStr">
        <is>
          <t>Catch all exceptions at a global handler. Log the full detail internally. Return only a generic error message and a reference ID to the client. Disable framework debug modes (DEBUG=False in Django, NODE_ENV=production, etc.).</t>
        </is>
      </c>
      <c r="D65" s="12" t="inlineStr">
        <is>
          <t>High</t>
        </is>
      </c>
      <c r="E65" s="8" t="inlineStr">
        <is>
          <t>Not Done</t>
        </is>
      </c>
      <c r="F65" s="11" t="inlineStr"/>
    </row>
    <row r="66" ht="60" customHeight="1">
      <c r="A66" s="5" t="n">
        <v>53</v>
      </c>
      <c r="B66" s="6" t="inlineStr">
        <is>
          <t>PII / sensitive data logged in plaintext</t>
        </is>
      </c>
      <c r="C66" s="7" t="inlineStr">
        <is>
          <t>Audit all log statements. Mask, truncate, or omit passwords, tokens, card numbers, and personal data before writing to logs. Use a log scrubbing library or custom log filter to enforce this automatically.</t>
        </is>
      </c>
      <c r="D66" s="12" t="inlineStr">
        <is>
          <t>High</t>
        </is>
      </c>
      <c r="E66" s="8" t="inlineStr">
        <is>
          <t>Not Done</t>
        </is>
      </c>
      <c r="F66" s="7" t="inlineStr"/>
    </row>
    <row r="67" ht="22" customHeight="1">
      <c r="A67" s="4" t="inlineStr">
        <is>
          <t>ACCESS CONTROL &amp; AUTHORIZATION</t>
        </is>
      </c>
    </row>
    <row r="68" ht="60" customHeight="1">
      <c r="A68" s="9" t="n">
        <v>54</v>
      </c>
      <c r="B68" s="10" t="inlineStr">
        <is>
          <t>Endpoints rely only on client-supplied role claim</t>
        </is>
      </c>
      <c r="C68" s="11" t="inlineStr">
        <is>
          <t>Derive the user's role from the server-side session or a validated, signed token (JWT) — never from a plain cookie value or request header that the client can edit. Re-fetch role from DB for critical actions if the token is long-lived.</t>
        </is>
      </c>
      <c r="D68" s="8" t="inlineStr">
        <is>
          <t>Critical</t>
        </is>
      </c>
      <c r="E68" s="8" t="inlineStr">
        <is>
          <t>Not Done</t>
        </is>
      </c>
      <c r="F68" s="11" t="inlineStr"/>
    </row>
    <row r="69" ht="60" customHeight="1">
      <c r="A69" s="5" t="n">
        <v>55</v>
      </c>
      <c r="B69" s="6" t="inlineStr">
        <is>
          <t>Missing authorization check on internal / non-UI API routes</t>
        </is>
      </c>
      <c r="C69" s="7" t="inlineStr">
        <is>
          <t>Every HTTP route must have an explicit authorization check — no route should be implicitly trusted because it is 'internal' or not linked from the UI. Apply an authorization middleware/decorator to all routes by default; explicitly mark public routes as exceptions.</t>
        </is>
      </c>
      <c r="D69" s="8" t="inlineStr">
        <is>
          <t>Critical</t>
        </is>
      </c>
      <c r="E69" s="8" t="inlineStr">
        <is>
          <t>Not Done</t>
        </is>
      </c>
      <c r="F69" s="7" t="inlineStr"/>
    </row>
    <row r="70" ht="60" customHeight="1">
      <c r="A70" s="9" t="n">
        <v>56</v>
      </c>
      <c r="B70" s="10" t="inlineStr">
        <is>
          <t>Function-level access control bypassed by direct URL access</t>
        </is>
      </c>
      <c r="C70" s="11" t="inlineStr">
        <is>
          <t>Verify roles and permissions at the business-logic / service layer, not only at the controller/route layer. A user who guesses a URL should receive 403, not the admin view.</t>
        </is>
      </c>
      <c r="D70" s="8" t="inlineStr">
        <is>
          <t>Critical</t>
        </is>
      </c>
      <c r="E70" s="8" t="inlineStr">
        <is>
          <t>Not Done</t>
        </is>
      </c>
      <c r="F70" s="11" t="inlineStr"/>
    </row>
    <row r="71" ht="22" customHeight="1">
      <c r="A71" s="4" t="inlineStr">
        <is>
          <t>CONFIGURATION &amp; INFRASTRUCTURE</t>
        </is>
      </c>
    </row>
    <row r="72" ht="60" customHeight="1">
      <c r="A72" s="5" t="n">
        <v>57</v>
      </c>
      <c r="B72" s="6" t="inlineStr">
        <is>
          <t>HTTPS not enforced; traffic in cleartext</t>
        </is>
      </c>
      <c r="C72" s="7" t="inlineStr">
        <is>
          <t>Redirect all HTTP to HTTPS at the server/load balancer level. Set Strict-Transport-Security (HSTS) header with a long max-age and includeSubDomains. Disable TLS 1.0 and 1.1; allow only TLS 1.2 and 1.3.</t>
        </is>
      </c>
      <c r="D72" s="8" t="inlineStr">
        <is>
          <t>Critical</t>
        </is>
      </c>
      <c r="E72" s="8" t="inlineStr">
        <is>
          <t>Not Done</t>
        </is>
      </c>
      <c r="F72" s="7" t="inlineStr"/>
    </row>
    <row r="73" ht="60" customHeight="1">
      <c r="A73" s="9" t="n">
        <v>58</v>
      </c>
      <c r="B73" s="10" t="inlineStr">
        <is>
          <t>Debug mode enabled in production</t>
        </is>
      </c>
      <c r="C73" s="11" t="inlineStr">
        <is>
          <t>Set all framework debug flags to off before deploying. Debug mode often exposes source code, environment variables, and interactive consoles (e.g., Django debug page, Flask debugger, Express stack traces). Use environment-specific config files and verify before each release.</t>
        </is>
      </c>
      <c r="D73" s="8" t="inlineStr">
        <is>
          <t>Critical</t>
        </is>
      </c>
      <c r="E73" s="8" t="inlineStr">
        <is>
          <t>Not Done</t>
        </is>
      </c>
      <c r="F73" s="11" t="inlineStr"/>
    </row>
    <row r="74" ht="60" customHeight="1">
      <c r="A74" s="5" t="n">
        <v>59</v>
      </c>
      <c r="B74" s="6" t="inlineStr">
        <is>
          <t>Default or hardcoded credentials on services</t>
        </is>
      </c>
      <c r="C74" s="7" t="inlineStr">
        <is>
          <t>Change all default usernames and passwords on databases, admin panels, message queues, and cloud services before deployment. Remove or disable default accounts that are not needed. Audit for hardcoded credentials in code with a SAST tool.</t>
        </is>
      </c>
      <c r="D74" s="8" t="inlineStr">
        <is>
          <t>Critical</t>
        </is>
      </c>
      <c r="E74" s="8" t="inlineStr">
        <is>
          <t>Not Done</t>
        </is>
      </c>
      <c r="F74" s="7" t="inlineStr"/>
    </row>
    <row r="75" ht="60" customHeight="1">
      <c r="A75" s="9" t="n">
        <v>60</v>
      </c>
      <c r="B75" s="10" t="inlineStr">
        <is>
          <t>Third-party dependencies with known vulnerabilities</t>
        </is>
      </c>
      <c r="C75" s="11" t="inlineStr">
        <is>
          <t>Run dependency vulnerability scans (npm audit, pip-audit, OWASP Dependency-Check) as part of the CI pipeline. Block deployments that include packages with known critical CVEs. Pin dependency versions and review updates before merging.</t>
        </is>
      </c>
      <c r="D75" s="12" t="inlineStr">
        <is>
          <t>High</t>
        </is>
      </c>
      <c r="E75" s="8" t="inlineStr">
        <is>
          <t>Not Done</t>
        </is>
      </c>
      <c r="F75" s="11" t="inlineStr"/>
    </row>
    <row r="76" ht="60" customHeight="1">
      <c r="A76" s="5" t="n">
        <v>61</v>
      </c>
      <c r="B76" s="6" t="inlineStr">
        <is>
          <t>Missing security HTTP response headers</t>
        </is>
      </c>
      <c r="C76" s="7" t="inlineStr">
        <is>
          <t>Set the following headers on all responses: X-Content-Type-Options: nosniff, X-Frame-Options: DENY, Referrer-Policy: strict-origin-when-cross-origin, Permissions-Policy (restrict camera, mic, geolocation). Use a security headers middleware or framework plugin.</t>
        </is>
      </c>
      <c r="D76" s="12" t="inlineStr">
        <is>
          <t>High</t>
        </is>
      </c>
      <c r="E76" s="8" t="inlineStr">
        <is>
          <t>Not Done</t>
        </is>
      </c>
      <c r="F76" s="7" t="inlineStr"/>
    </row>
    <row r="77" ht="22" customHeight="1">
      <c r="A77" s="4" t="inlineStr">
        <is>
          <t>LOGGING &amp; MONITORING</t>
        </is>
      </c>
    </row>
    <row r="78" ht="60" customHeight="1">
      <c r="A78" s="9" t="n">
        <v>62</v>
      </c>
      <c r="B78" s="10" t="inlineStr">
        <is>
          <t>Security events not logged</t>
        </is>
      </c>
      <c r="C78" s="11" t="inlineStr">
        <is>
          <t>Log the following events with timestamp, user ID, IP address, and outcome: login (success and failure), logout, password change/reset, privilege change, access denied (403), input validation failure, and token rejection. Send logs to a centralized, append-only store.</t>
        </is>
      </c>
      <c r="D78" s="12" t="inlineStr">
        <is>
          <t>High</t>
        </is>
      </c>
      <c r="E78" s="8" t="inlineStr">
        <is>
          <t>Not Done</t>
        </is>
      </c>
      <c r="F78" s="11" t="inlineStr"/>
    </row>
    <row r="79" ht="60" customHeight="1">
      <c r="A79" s="5" t="n">
        <v>63</v>
      </c>
      <c r="B79" s="6" t="inlineStr">
        <is>
          <t>No alerting on suspicious patterns</t>
        </is>
      </c>
      <c r="C79" s="7" t="inlineStr">
        <is>
          <t>Configure alerts for: more than N failed logins per minute per IP, access to admin routes from non-admin accounts, sudden spike in 4xx/5xx error rates, and large data exports. Alerts should trigger an incident response workflow.</t>
        </is>
      </c>
      <c r="D79" s="13" t="inlineStr">
        <is>
          <t>Medium</t>
        </is>
      </c>
      <c r="E79" s="8" t="inlineStr">
        <is>
          <t>Not Done</t>
        </is>
      </c>
      <c r="F79" s="7" t="inlineStr"/>
    </row>
  </sheetData>
  <mergeCells count="14">
    <mergeCell ref="A2:F2"/>
    <mergeCell ref="A33:F33"/>
    <mergeCell ref="A51:F51"/>
    <mergeCell ref="A47:F47"/>
    <mergeCell ref="A42:F42"/>
    <mergeCell ref="A71:F71"/>
    <mergeCell ref="A13:F13"/>
    <mergeCell ref="A1:F1"/>
    <mergeCell ref="A23:F23"/>
    <mergeCell ref="A5:F5"/>
    <mergeCell ref="A67:F67"/>
    <mergeCell ref="A62:F62"/>
    <mergeCell ref="A77:F77"/>
    <mergeCell ref="A57:F57"/>
  </mergeCells>
  <pageMargins left="0.75" right="0.75" top="1" bottom="1" header="0.5" footer="0.5"/>
</worksheet>
</file>

<file path=xl/worksheets/sheet2.xml><?xml version="1.0" encoding="utf-8"?>
<worksheet xmlns="http://schemas.openxmlformats.org/spreadsheetml/2006/main">
  <sheetPr>
    <tabColor rgb="00375623"/>
    <outlinePr summaryBelow="1" summaryRight="1"/>
    <pageSetUpPr/>
  </sheetPr>
  <dimension ref="B2:E19"/>
  <sheetViews>
    <sheetView showGridLines="0" workbookViewId="0">
      <selection activeCell="A1" sqref="A1"/>
    </sheetView>
  </sheetViews>
  <sheetFormatPr baseColWidth="8" defaultRowHeight="15"/>
  <cols>
    <col width="3" customWidth="1" min="1" max="1"/>
    <col width="32" customWidth="1" min="2" max="2"/>
    <col width="14" customWidth="1" min="3" max="3"/>
    <col width="14" customWidth="1" min="4" max="4"/>
    <col width="14" customWidth="1" min="5" max="5"/>
    <col width="3" customWidth="1" min="6" max="6"/>
  </cols>
  <sheetData>
    <row r="2" ht="30" customHeight="1">
      <c r="B2" s="1" t="inlineStr">
        <is>
          <t>SECURITY CHECKLIST  —  PROGRESS SUMMARY</t>
        </is>
      </c>
    </row>
    <row r="4" ht="24" customHeight="1">
      <c r="B4" s="3" t="inlineStr">
        <is>
          <t>Metric</t>
        </is>
      </c>
      <c r="C4" s="3" t="inlineStr">
        <is>
          <t>Count</t>
        </is>
      </c>
      <c r="D4" s="3" t="inlineStr"/>
      <c r="E4" s="3" t="inlineStr"/>
    </row>
    <row r="5" ht="22" customHeight="1">
      <c r="B5" s="14" t="inlineStr">
        <is>
          <t>Total Checklist Items</t>
        </is>
      </c>
      <c r="C5" s="15">
        <f>COUNTA('Security Checklist'!B5:B500)-COUNTIF('Security Checklist'!B5:B500,"")</f>
        <v/>
      </c>
      <c r="D5" s="16" t="n"/>
      <c r="E5" s="16" t="n"/>
    </row>
    <row r="6" ht="22" customHeight="1">
      <c r="B6" s="17" t="inlineStr">
        <is>
          <t>Done</t>
        </is>
      </c>
      <c r="C6" s="18">
        <f>COUNTIF('Security Checklist'!E5:E500,"Done")</f>
        <v/>
      </c>
      <c r="D6" s="19" t="n"/>
      <c r="E6" s="19" t="n"/>
    </row>
    <row r="7" ht="22" customHeight="1">
      <c r="B7" s="14" t="inlineStr">
        <is>
          <t>In Progress</t>
        </is>
      </c>
      <c r="C7" s="15">
        <f>COUNTIF('Security Checklist'!E5:E500,"In Progress")</f>
        <v/>
      </c>
      <c r="D7" s="16" t="n"/>
      <c r="E7" s="16" t="n"/>
    </row>
    <row r="8" ht="22" customHeight="1">
      <c r="B8" s="17" t="inlineStr">
        <is>
          <t>Not Done</t>
        </is>
      </c>
      <c r="C8" s="18">
        <f>COUNTIF('Security Checklist'!E5:E500,"Not Done")</f>
        <v/>
      </c>
      <c r="D8" s="19" t="n"/>
      <c r="E8" s="19" t="n"/>
    </row>
    <row r="9" ht="22" customHeight="1">
      <c r="B9" s="14" t="inlineStr">
        <is>
          <t>Not Applicable (N/A)</t>
        </is>
      </c>
      <c r="C9" s="15">
        <f>COUNTIF('Security Checklist'!E5:E500,"N/A")</f>
        <v/>
      </c>
      <c r="D9" s="16" t="n"/>
      <c r="E9" s="16" t="n"/>
    </row>
    <row r="10" ht="22" customHeight="1">
      <c r="B10" s="17" t="inlineStr">
        <is>
          <t>Critical Priority Items</t>
        </is>
      </c>
      <c r="C10" s="18">
        <f>COUNTIF('Security Checklist'!D5:D500,"Critical")</f>
        <v/>
      </c>
      <c r="D10" s="19" t="n"/>
      <c r="E10" s="19" t="n"/>
    </row>
    <row r="11" ht="22" customHeight="1">
      <c r="B11" s="14" t="inlineStr">
        <is>
          <t>High Priority Items</t>
        </is>
      </c>
      <c r="C11" s="15">
        <f>COUNTIF('Security Checklist'!D5:D500,"High")</f>
        <v/>
      </c>
      <c r="D11" s="16" t="n"/>
      <c r="E11" s="16" t="n"/>
    </row>
    <row r="12" ht="22" customHeight="1">
      <c r="B12" s="17" t="inlineStr">
        <is>
          <t>Completion Rate</t>
        </is>
      </c>
      <c r="C12" s="18">
        <f>IFERROR(TEXT(COUNTIF('Security Checklist'!E5:E500,"Done")/MAX(1,(COUNTA('Security Checklist'!B5:B500)-COUNTIF('Security Checklist'!B5:B500,""))),"0.0%"),"0.0%")</f>
        <v/>
      </c>
      <c r="D12" s="19" t="n"/>
      <c r="E12" s="19" t="n"/>
    </row>
    <row r="14" ht="8" customHeight="1"/>
    <row r="15" ht="24" customHeight="1">
      <c r="B15" s="20" t="inlineStr">
        <is>
          <t>STATUS GUIDE  —  Update the Status column in the Security Checklist tab</t>
        </is>
      </c>
    </row>
    <row r="16" ht="22" customHeight="1">
      <c r="B16" s="8" t="inlineStr">
        <is>
          <t>Not Done</t>
        </is>
      </c>
      <c r="C16" s="7" t="inlineStr">
        <is>
          <t>Default. Item not yet implemented.</t>
        </is>
      </c>
    </row>
    <row r="17" ht="22" customHeight="1">
      <c r="B17" s="12" t="inlineStr">
        <is>
          <t>In Progress</t>
        </is>
      </c>
      <c r="C17" s="11" t="inlineStr">
        <is>
          <t>Implementation started; not yet tested or complete.</t>
        </is>
      </c>
    </row>
    <row r="18" ht="22" customHeight="1">
      <c r="B18" s="21" t="inlineStr">
        <is>
          <t>Done</t>
        </is>
      </c>
      <c r="C18" s="7" t="inlineStr">
        <is>
          <t>Implemented, reviewed, and tested. Record evidence in Notes column.</t>
        </is>
      </c>
    </row>
    <row r="19" ht="22" customHeight="1">
      <c r="B19" s="22" t="inlineStr">
        <is>
          <t>N/A</t>
        </is>
      </c>
      <c r="C19" s="11" t="inlineStr">
        <is>
          <t>Not applicable to this project. Add a brief reason in the Notes column.</t>
        </is>
      </c>
    </row>
  </sheetData>
  <mergeCells count="6">
    <mergeCell ref="C16:E16"/>
    <mergeCell ref="C19:E19"/>
    <mergeCell ref="C18:E18"/>
    <mergeCell ref="B15:E15"/>
    <mergeCell ref="C17:E17"/>
    <mergeCell ref="B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2026-04-23T09:58:43Z</dcterms:created>
  <dcterms:modified xmlns:dcterms="http://purl.org/dc/terms/" xmlns:xsi="http://www.w3.org/2001/XMLSchema-instance" xsi:type="dcterms:W3CDTF">2026-04-23T09:58:44Z</dcterms:modified>
</cp:coreProperties>
</file>